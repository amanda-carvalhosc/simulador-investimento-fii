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796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<sst xmlns="http://schemas.openxmlformats.org/spreadsheetml/2006/main" count="28" uniqueCount="28">
  <si>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               CONFIGURAÇÕES</t>
  </si>
  <si>
    <t>Salário</t>
  </si>
  <si>
    <t>Rendimento Carteira</t>
  </si>
  <si>
    <t>Sugestão de Investimento (30%)</t>
  </si>
  <si>
    <t xml:space="preserve">         INVESTIMENTO MENSAL</t>
  </si>
  <si>
    <t>Quanto investir por mês ?</t>
  </si>
  <si>
    <t>Por Quantos Anos ?</t>
  </si>
  <si>
    <t>Taxa de Rendimento mensal ?</t>
  </si>
  <si>
    <t>Patrimônio Acumulado</t>
  </si>
  <si>
    <t>Dividendos Mensais</t>
  </si>
  <si>
    <r>
      <rPr>
        <b/>
        <sz val="18"/>
        <color rgb="FFFFFFFF"/>
        <rFont val="Segoe UI"/>
        <charset val="134"/>
      </rPr>
      <t xml:space="preserve">                </t>
    </r>
    <r>
      <rPr>
        <sz val="18"/>
        <color rgb="FFFFFFFF"/>
        <rFont val="Segoe UI"/>
        <charset val="134"/>
      </rPr>
      <t>Cenários</t>
    </r>
  </si>
  <si>
    <t xml:space="preserve">            Patrimônio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</si>
  <si>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</si>
  <si>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</si>
  <si>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</si>
  <si>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</si>
  <si>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</si>
  <si>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</si>
  <si>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Tipo de FII</t>
  </si>
  <si>
    <t>Percentual</t>
  </si>
  <si>
    <t>Valor Sugerido</t>
  </si>
  <si>
    <t>PAPEL</t>
  </si>
  <si>
    <t>TIJOLO</t>
  </si>
  <si>
    <t>HÍBRIDO</t>
  </si>
  <si>
    <t>FOFs</t>
  </si>
  <si>
    <t>DESENVOLVIMENTO</t>
  </si>
  <si>
    <t>HOTELARIA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</si>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</sst>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$&quot;#,##0.00_);[Red]\(&quot;$&quot;#,##0.00\)"/>
    <numFmt numFmtId="181" formatCode="&quot;$&quot;#,##0.00"/>
  </numFmts>
  <fonts count="3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8"/>
      <color rgb="FFFFFFFF"/>
      <name val="Segoe UI Semibold"/>
      <charset val="134"/>
    </font>
    <font>
      <sz val="12"/>
      <color theme="1"/>
      <name val="Segoe UI Semibold"/>
      <charset val="134"/>
    </font>
    <font>
      <sz val="12"/>
      <color theme="1"/>
      <name val="Calibri"/>
      <charset val="134"/>
      <scheme val="minor"/>
    </font>
    <font>
      <sz val="18"/>
      <color theme="0"/>
      <name val="Segoe UI Semibold"/>
      <charset val="134"/>
    </font>
    <font>
      <b/>
      <sz val="12"/>
      <color theme="1"/>
      <name val="Segoe UI Semibold"/>
      <charset val="134"/>
    </font>
    <font>
      <sz val="11"/>
      <color theme="1"/>
      <name val="Segoe UI Semibold"/>
      <charset val="134"/>
    </font>
    <font>
      <b/>
      <sz val="12"/>
      <color theme="1"/>
      <name val="Calibri"/>
      <charset val="134"/>
      <scheme val="minor"/>
    </font>
    <font>
      <sz val="18"/>
      <color rgb="FFFFFFFF"/>
      <name val="Segoe UI"/>
      <charset val="134"/>
    </font>
    <font>
      <b/>
      <sz val="18"/>
      <color theme="0"/>
      <name val="Segoe UI"/>
      <charset val="134"/>
    </font>
    <font>
      <sz val="12"/>
      <color theme="1"/>
      <name val="Segoe UI"/>
      <charset val="134"/>
    </font>
    <font>
      <b/>
      <sz val="18"/>
      <color theme="0"/>
      <name val="Aptos Narrow"/>
      <charset val="134"/>
    </font>
    <font>
      <sz val="18"/>
      <color theme="1"/>
      <name val="Segoe UI"/>
      <charset val="134"/>
    </font>
    <font>
      <b/>
      <sz val="12"/>
      <color theme="1"/>
      <name val="Aptos Narrow"/>
      <charset val="134"/>
    </font>
    <font>
      <b/>
      <sz val="12"/>
      <color theme="1"/>
      <name val="Segoe U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rgb="FFFFFFFF"/>
      <name val="Segoe U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thin">
        <color rgb="FFF0F2F5"/>
      </bottom>
      <diagonal/>
    </border>
    <border>
      <left style="medium">
        <color theme="1" tint="0.0499893185216834"/>
      </left>
      <right/>
      <top style="medium">
        <color theme="1" tint="0.0499893185216834"/>
      </top>
      <bottom/>
      <diagonal/>
    </border>
    <border>
      <left/>
      <right/>
      <top style="medium">
        <color theme="1" tint="0.0499893185216834"/>
      </top>
      <bottom/>
      <diagonal/>
    </border>
    <border>
      <left/>
      <right style="medium">
        <color theme="1" tint="0.0499893185216834"/>
      </right>
      <top style="medium">
        <color theme="1" tint="0.049989318521683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1" tint="0.0499893185216834"/>
      </left>
      <right/>
      <top/>
      <bottom/>
      <diagonal/>
    </border>
    <border>
      <left/>
      <right style="medium">
        <color theme="1" tint="0.0499893185216834"/>
      </right>
      <top/>
      <bottom/>
      <diagonal/>
    </border>
    <border>
      <left style="medium">
        <color theme="1" tint="0.0499893185216834"/>
      </left>
      <right/>
      <top/>
      <bottom style="medium">
        <color theme="1" tint="0.0499893185216834"/>
      </bottom>
      <diagonal/>
    </border>
    <border>
      <left/>
      <right/>
      <top/>
      <bottom style="medium">
        <color theme="1" tint="0.0499893185216834"/>
      </bottom>
      <diagonal/>
    </border>
    <border>
      <left/>
      <right style="medium">
        <color theme="1" tint="0.0499893185216834"/>
      </right>
      <top/>
      <bottom style="medium">
        <color theme="1" tint="0.049989318521683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1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22" applyNumberFormat="0" applyAlignment="0" applyProtection="0">
      <alignment vertical="center"/>
    </xf>
    <xf numFmtId="0" fontId="26" fillId="7" borderId="23" applyNumberFormat="0" applyAlignment="0" applyProtection="0">
      <alignment vertical="center"/>
    </xf>
    <xf numFmtId="0" fontId="27" fillId="7" borderId="22" applyNumberFormat="0" applyAlignment="0" applyProtection="0">
      <alignment vertical="center"/>
    </xf>
    <xf numFmtId="0" fontId="28" fillId="8" borderId="24" applyNumberFormat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3" fillId="2" borderId="4" xfId="0" applyFont="1" applyFill="1" applyBorder="1" applyAlignment="1">
      <alignment wrapText="1"/>
    </xf>
    <xf numFmtId="0" fontId="3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right"/>
    </xf>
    <xf numFmtId="0" fontId="3" fillId="2" borderId="6" xfId="0" applyFont="1" applyFill="1" applyBorder="1" applyAlignment="1">
      <alignment wrapText="1"/>
    </xf>
    <xf numFmtId="0" fontId="3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right"/>
    </xf>
    <xf numFmtId="0" fontId="0" fillId="2" borderId="0" xfId="0" applyFill="1" applyAlignment="1">
      <alignment horizontal="right" wrapText="1"/>
    </xf>
    <xf numFmtId="0" fontId="0" fillId="2" borderId="0" xfId="0" applyFill="1" applyAlignment="1">
      <alignment horizontal="right"/>
    </xf>
    <xf numFmtId="0" fontId="5" fillId="4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right"/>
    </xf>
    <xf numFmtId="0" fontId="3" fillId="2" borderId="9" xfId="0" applyFont="1" applyFill="1" applyBorder="1" applyAlignment="1">
      <alignment wrapText="1" readingOrder="1"/>
    </xf>
    <xf numFmtId="0" fontId="0" fillId="2" borderId="5" xfId="0" applyFill="1" applyBorder="1" applyAlignment="1">
      <alignment horizontal="right"/>
    </xf>
    <xf numFmtId="0" fontId="6" fillId="2" borderId="4" xfId="0" applyFont="1" applyFill="1" applyBorder="1" applyAlignment="1">
      <alignment wrapText="1"/>
    </xf>
    <xf numFmtId="180" fontId="3" fillId="2" borderId="0" xfId="0" applyNumberFormat="1" applyFont="1" applyFill="1" applyAlignment="1">
      <alignment horizontal="center" wrapText="1"/>
    </xf>
    <xf numFmtId="0" fontId="7" fillId="2" borderId="5" xfId="0" applyFont="1" applyFill="1" applyBorder="1"/>
    <xf numFmtId="0" fontId="6" fillId="2" borderId="6" xfId="0" applyFont="1" applyFill="1" applyBorder="1" applyAlignment="1">
      <alignment wrapText="1" readingOrder="1"/>
    </xf>
    <xf numFmtId="180" fontId="3" fillId="2" borderId="7" xfId="0" applyNumberFormat="1" applyFont="1" applyFill="1" applyBorder="1" applyAlignment="1">
      <alignment horizontal="center" wrapText="1"/>
    </xf>
    <xf numFmtId="0" fontId="7" fillId="2" borderId="8" xfId="0" applyFont="1" applyFill="1" applyBorder="1"/>
    <xf numFmtId="0" fontId="7" fillId="2" borderId="0" xfId="0" applyFont="1" applyFill="1" applyBorder="1" applyAlignment="1">
      <alignment wrapText="1" readingOrder="1"/>
    </xf>
    <xf numFmtId="180" fontId="7" fillId="2" borderId="0" xfId="0" applyNumberFormat="1" applyFont="1" applyFill="1" applyBorder="1" applyAlignment="1">
      <alignment wrapText="1"/>
    </xf>
    <xf numFmtId="0" fontId="7" fillId="2" borderId="0" xfId="0" applyFont="1" applyFill="1" applyBorder="1"/>
    <xf numFmtId="0" fontId="8" fillId="2" borderId="0" xfId="0" applyFont="1" applyFill="1"/>
    <xf numFmtId="0" fontId="9" fillId="4" borderId="10" xfId="0" applyFont="1" applyFill="1" applyBorder="1" applyAlignment="1">
      <alignment horizontal="left" wrapText="1"/>
    </xf>
    <xf numFmtId="0" fontId="10" fillId="4" borderId="11" xfId="0" applyFont="1" applyFill="1" applyBorder="1" applyAlignment="1">
      <alignment horizontal="center" wrapText="1"/>
    </xf>
    <xf numFmtId="0" fontId="10" fillId="4" borderId="12" xfId="0" applyFont="1" applyFill="1" applyBorder="1" applyAlignment="1">
      <alignment horizontal="right"/>
    </xf>
    <xf numFmtId="0" fontId="0" fillId="2" borderId="13" xfId="0" applyFill="1" applyBorder="1"/>
    <xf numFmtId="0" fontId="11" fillId="2" borderId="14" xfId="0" applyFont="1" applyFill="1" applyBorder="1" applyAlignment="1">
      <alignment horizontal="left" wrapText="1"/>
    </xf>
    <xf numFmtId="180" fontId="11" fillId="2" borderId="0" xfId="0" applyNumberFormat="1" applyFont="1" applyFill="1" applyBorder="1" applyAlignment="1">
      <alignment horizontal="center" wrapText="1"/>
    </xf>
    <xf numFmtId="180" fontId="11" fillId="2" borderId="15" xfId="0" applyNumberFormat="1" applyFont="1" applyFill="1" applyBorder="1"/>
    <xf numFmtId="0" fontId="11" fillId="2" borderId="16" xfId="0" applyFont="1" applyFill="1" applyBorder="1" applyAlignment="1">
      <alignment horizontal="left" wrapText="1" readingOrder="1"/>
    </xf>
    <xf numFmtId="180" fontId="11" fillId="2" borderId="17" xfId="0" applyNumberFormat="1" applyFont="1" applyFill="1" applyBorder="1" applyAlignment="1">
      <alignment horizontal="center" wrapText="1"/>
    </xf>
    <xf numFmtId="180" fontId="11" fillId="2" borderId="18" xfId="0" applyNumberFormat="1" applyFont="1" applyFill="1" applyBorder="1"/>
    <xf numFmtId="0" fontId="12" fillId="4" borderId="1" xfId="0" applyFont="1" applyFill="1" applyBorder="1" applyAlignment="1">
      <alignment wrapText="1"/>
    </xf>
    <xf numFmtId="0" fontId="12" fillId="4" borderId="2" xfId="0" applyFont="1" applyFill="1" applyBorder="1" applyAlignment="1">
      <alignment horizontal="center" wrapText="1"/>
    </xf>
    <xf numFmtId="0" fontId="12" fillId="4" borderId="2" xfId="0" applyFont="1" applyFill="1" applyBorder="1" applyAlignment="1">
      <alignment horizontal="center"/>
    </xf>
    <xf numFmtId="0" fontId="13" fillId="4" borderId="3" xfId="0" applyFont="1" applyFill="1" applyBorder="1"/>
    <xf numFmtId="0" fontId="11" fillId="2" borderId="4" xfId="0" applyFont="1" applyFill="1" applyBorder="1" applyAlignment="1">
      <alignment wrapText="1"/>
    </xf>
    <xf numFmtId="9" fontId="11" fillId="2" borderId="0" xfId="0" applyNumberFormat="1" applyFont="1" applyFill="1" applyBorder="1" applyAlignment="1">
      <alignment horizontal="center" wrapText="1"/>
    </xf>
    <xf numFmtId="181" fontId="11" fillId="2" borderId="0" xfId="0" applyNumberFormat="1" applyFont="1" applyFill="1" applyBorder="1" applyAlignment="1">
      <alignment horizontal="center"/>
    </xf>
    <xf numFmtId="0" fontId="0" fillId="2" borderId="5" xfId="0" applyFill="1" applyBorder="1"/>
    <xf numFmtId="0" fontId="14" fillId="2" borderId="6" xfId="0" applyFont="1" applyFill="1" applyBorder="1"/>
    <xf numFmtId="0" fontId="15" fillId="2" borderId="7" xfId="0" applyFont="1" applyFill="1" applyBorder="1" applyAlignment="1">
      <alignment wrapText="1"/>
    </xf>
    <xf numFmtId="181" fontId="14" fillId="2" borderId="7" xfId="0" applyNumberFormat="1" applyFont="1" applyFill="1" applyBorder="1" applyAlignment="1">
      <alignment horizontal="center"/>
    </xf>
    <xf numFmtId="0" fontId="0" fillId="2" borderId="8" xfId="0" applyFill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Planilha1!$C$23</c:f>
              <c:strCache>
                <c:ptCount val="1"/>
                <c:pt idx="0">
                  <c:v>            Patrimônio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Planilha1!$B$24:$B$28</c:f>
              <c:strCache>
                <c:ptCount val="5"/>
                <c:pt idx="0">
                  <c:v>Quanto em 2 Anos ?</c:v>
                </c:pt>
                <c:pt idx="1">
                  <c:v>Quanto em 5 Anos ?</c:v>
                </c:pt>
                <c:pt idx="2">
                  <c:v>Quanto em 10 Anos ?</c:v>
                </c:pt>
                <c:pt idx="3">
                  <c:v>Quanto em 20 Anos ?</c:v>
                </c:pt>
                <c:pt idx="4">
                  <c:v>Quanto em 30 Anos ?</c:v>
                </c:pt>
              </c:strCache>
            </c:strRef>
          </c:cat>
          <c:val>
            <c:numRef>
              <c:f>Planilha1!$C$24:$C$28</c:f>
              <c:numCache>
                <c:formatCode>"$"#,##0.00_);[Red]\("$"#,##0.00\)</c:formatCode>
                <c:ptCount val="5"/>
                <c:pt idx="0">
                  <c:v>5445.52545952903</c:v>
                </c:pt>
                <c:pt idx="1">
                  <c:v>16755.3827996975</c:v>
                </c:pt>
                <c:pt idx="2">
                  <c:v>48656.8425060342</c:v>
                </c:pt>
                <c:pt idx="3">
                  <c:v>225039.680019415</c:v>
                </c:pt>
                <c:pt idx="4">
                  <c:v>864433.931000934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17357831"/>
        <c:axId val="1817342471"/>
      </c:lineChart>
      <c:catAx>
        <c:axId val="1817357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7342471"/>
        <c:crosses val="autoZero"/>
        <c:auto val="1"/>
        <c:lblAlgn val="ctr"/>
        <c:lblOffset val="100"/>
        <c:noMultiLvlLbl val="0"/>
      </c:catAx>
      <c:valAx>
        <c:axId val="1817342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7357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5d1436-98d2-42e7-b1fe-de2db3e8bb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por Tipo de FII</a:t>
            </a:r>
            <a:endParaRPr lang="en-US"/>
          </a:p>
        </c:rich>
      </c:tx>
      <c:layout>
        <c:manualLayout>
          <c:xMode val="edge"/>
          <c:yMode val="edge"/>
          <c:x val="0.360914216066874"/>
          <c:y val="0.030864268173406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Planilha1!$C$32:$C$37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Planilha1!$D$32:$D$37</c:f>
              <c:numCache>
                <c:formatCode>"$"#,##0.00</c:formatCode>
                <c:ptCount val="6"/>
                <c:pt idx="0">
                  <c:v>64</c:v>
                </c:pt>
                <c:pt idx="1">
                  <c:v>70</c:v>
                </c:pt>
                <c:pt idx="2">
                  <c:v>16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ee5348-78bd-42dd-9ba2-abc50f4434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638175</xdr:colOff>
      <xdr:row>0</xdr:row>
      <xdr:rowOff>123825</xdr:rowOff>
    </xdr:from>
    <xdr:to>
      <xdr:col>3</xdr:col>
      <xdr:colOff>2000250</xdr:colOff>
      <xdr:row>9</xdr:row>
      <xdr:rowOff>133350</xdr:rowOff>
    </xdr:to>
    <xdr:pic>
      <xdr:nvPicPr>
        <xdr:cNvPr id="2" name="Imagem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8175" y="123825"/>
          <a:ext cx="7161530" cy="1655445"/>
        </a:xfrm>
        <a:prstGeom prst="rect">
          <a:avLst/>
        </a:prstGeom>
      </xdr:spPr>
    </xdr:pic>
    <xdr:clientData/>
  </xdr:twoCellAnchor>
  <xdr:twoCellAnchor>
    <xdr:from>
      <xdr:col>5</xdr:col>
      <xdr:colOff>171450</xdr:colOff>
      <xdr:row>13</xdr:row>
      <xdr:rowOff>142875</xdr:rowOff>
    </xdr:from>
    <xdr:to>
      <xdr:col>12</xdr:col>
      <xdr:colOff>476250</xdr:colOff>
      <xdr:row>27</xdr:row>
      <xdr:rowOff>57150</xdr:rowOff>
    </xdr:to>
    <xdr:graphicFrame>
      <xdr:nvGraphicFramePr>
        <xdr:cNvPr id="5" name="Gráfico 4"/>
        <xdr:cNvGraphicFramePr/>
      </xdr:nvGraphicFramePr>
      <xdr:xfrm>
        <a:off x="8694420" y="2964180"/>
        <a:ext cx="462534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819150</xdr:colOff>
      <xdr:row>40</xdr:row>
      <xdr:rowOff>19050</xdr:rowOff>
    </xdr:from>
    <xdr:to>
      <xdr:col>2</xdr:col>
      <xdr:colOff>1647825</xdr:colOff>
      <xdr:row>54</xdr:row>
      <xdr:rowOff>95250</xdr:rowOff>
    </xdr:to>
    <xdr:graphicFrame>
      <xdr:nvGraphicFramePr>
        <xdr:cNvPr id="3" name="Gráfico 2"/>
        <xdr:cNvGraphicFramePr/>
      </xdr:nvGraphicFramePr>
      <xdr:xfrm>
        <a:off x="819150" y="9599295"/>
        <a:ext cx="467868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9"/>
  <sheetViews>
    <sheetView showGridLines="0" tabSelected="1" topLeftCell="A37" workbookViewId="0">
      <selection activeCell="D50" sqref="D50"/>
    </sheetView>
  </sheetViews>
  <sheetFormatPr defaultColWidth="9" defaultRowHeight="14.4"/>
  <cols>
    <col min="1" max="1" width="12.4259259259259" customWidth="1"/>
    <col min="2" max="2" width="43.712962962963" style="1" customWidth="1"/>
    <col min="3" max="3" width="28.4259259259259" style="1" customWidth="1"/>
    <col min="4" max="4" width="30.712962962963" customWidth="1"/>
  </cols>
  <sheetData>
    <row r="1" spans="1:21">
      <c r="A1" s="2"/>
      <c r="B1" s="3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2"/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2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15.15" spans="1:21">
      <c r="A10" s="2"/>
      <c r="B10" s="3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39" customHeight="1" spans="1:21">
      <c r="A11" s="4"/>
      <c r="B11" s="5" t="s">
        <v>0</v>
      </c>
      <c r="C11" s="6"/>
      <c r="D11" s="7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9.2" spans="1:21">
      <c r="A12" s="2"/>
      <c r="B12" s="8" t="s">
        <v>1</v>
      </c>
      <c r="C12" s="9">
        <v>2000</v>
      </c>
      <c r="D12" s="1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9.2" spans="1:21">
      <c r="A13" s="2"/>
      <c r="B13" s="8" t="s">
        <v>2</v>
      </c>
      <c r="C13" s="9">
        <v>0.006</v>
      </c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9.95" spans="1:21">
      <c r="A14" s="2"/>
      <c r="B14" s="11" t="s">
        <v>3</v>
      </c>
      <c r="C14" s="12">
        <f>C12*0.3</f>
        <v>600</v>
      </c>
      <c r="D14" s="1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8.75" customHeight="1" spans="1:21">
      <c r="A15" s="2"/>
      <c r="B15" s="3"/>
      <c r="C15" s="14"/>
      <c r="D15" s="1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34.5" customHeight="1" spans="1:21">
      <c r="A16" s="2"/>
      <c r="B16" s="16" t="s">
        <v>4</v>
      </c>
      <c r="C16" s="17"/>
      <c r="D16" s="18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9.2" spans="1:21">
      <c r="A17" s="2"/>
      <c r="B17" s="19" t="s">
        <v>5</v>
      </c>
      <c r="C17" s="9">
        <v>200</v>
      </c>
      <c r="D17" s="2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9.2" spans="1:21">
      <c r="A18" s="2"/>
      <c r="B18" s="8" t="s">
        <v>6</v>
      </c>
      <c r="C18" s="9">
        <v>5</v>
      </c>
      <c r="D18" s="2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9.2" spans="1:21">
      <c r="A19" s="2"/>
      <c r="B19" s="8" t="s">
        <v>7</v>
      </c>
      <c r="C19" s="9">
        <v>0.01079</v>
      </c>
      <c r="D19" s="2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9.2" spans="1:21">
      <c r="A20" s="2"/>
      <c r="B20" s="21" t="s">
        <v>8</v>
      </c>
      <c r="C20" s="22">
        <f>C25</f>
        <v>16755.3827996975</v>
      </c>
      <c r="D20" s="2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9.95" spans="1:21">
      <c r="A21" s="2"/>
      <c r="B21" s="24" t="s">
        <v>9</v>
      </c>
      <c r="C21" s="25">
        <f>D25</f>
        <v>100.532296798185</v>
      </c>
      <c r="D21" s="2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8.75" customHeight="1" spans="1:21">
      <c r="A22" s="2"/>
      <c r="B22" s="27"/>
      <c r="C22" s="28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26.25" customHeight="1" spans="1:21">
      <c r="A23" s="30"/>
      <c r="B23" s="31" t="s">
        <v>10</v>
      </c>
      <c r="C23" s="32" t="s">
        <v>11</v>
      </c>
      <c r="D23" s="33" t="s">
        <v>12</v>
      </c>
      <c r="E23" s="30"/>
      <c r="F23" s="2"/>
      <c r="G23" s="3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9.2" spans="1:21">
      <c r="A24" s="2"/>
      <c r="B24" s="35" t="s">
        <v>13</v>
      </c>
      <c r="C24" s="36">
        <f>FV(C$19,24,-C$17)</f>
        <v>5445.52545952903</v>
      </c>
      <c r="D24" s="37">
        <f>C24*C$13</f>
        <v>32.6731527571742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9.2" spans="1:21">
      <c r="A25" s="2"/>
      <c r="B25" s="35" t="s">
        <v>14</v>
      </c>
      <c r="C25" s="36">
        <f>FV(C$19,60,-C$17)</f>
        <v>16755.3827996975</v>
      </c>
      <c r="D25" s="37">
        <f>C25*C$13</f>
        <v>100.532296798185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9.2" spans="1:21">
      <c r="A26" s="2"/>
      <c r="B26" s="35" t="s">
        <v>15</v>
      </c>
      <c r="C26" s="36">
        <f>FV(C$19,120,-C$17)</f>
        <v>48656.8425060342</v>
      </c>
      <c r="D26" s="37">
        <f>C26*C$13</f>
        <v>291.941055036205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9.2" spans="1:21">
      <c r="A27" s="2"/>
      <c r="B27" s="35" t="s">
        <v>16</v>
      </c>
      <c r="C27" s="36">
        <f>FV(C$19,240,-C$17)</f>
        <v>225039.680019415</v>
      </c>
      <c r="D27" s="37">
        <f>C27*C$13</f>
        <v>1350.23808011649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9.95" spans="1:21">
      <c r="A28" s="2"/>
      <c r="B28" s="38" t="s">
        <v>17</v>
      </c>
      <c r="C28" s="39">
        <f>FV(C$19,360,-C$17)</f>
        <v>864433.931000934</v>
      </c>
      <c r="D28" s="40">
        <f>C28*C$13</f>
        <v>5186.60358600561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3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5.15" spans="1:21">
      <c r="A30" s="2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27" spans="1:21">
      <c r="A31" s="2"/>
      <c r="B31" s="41" t="s">
        <v>18</v>
      </c>
      <c r="C31" s="42" t="s">
        <v>19</v>
      </c>
      <c r="D31" s="43" t="s">
        <v>20</v>
      </c>
      <c r="E31" s="4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9.2" spans="1:21">
      <c r="A32" s="2"/>
      <c r="B32" s="45" t="s">
        <v>21</v>
      </c>
      <c r="C32" s="46">
        <v>0.32</v>
      </c>
      <c r="D32" s="47">
        <f t="shared" ref="D32:D37" si="0">C32*C$17</f>
        <v>64</v>
      </c>
      <c r="E32" s="4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9.2" spans="1:21">
      <c r="A33" s="2"/>
      <c r="B33" s="45" t="s">
        <v>22</v>
      </c>
      <c r="C33" s="46">
        <v>0.35</v>
      </c>
      <c r="D33" s="47">
        <f t="shared" si="0"/>
        <v>70</v>
      </c>
      <c r="E33" s="4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9.2" spans="1:21">
      <c r="A34" s="2"/>
      <c r="B34" s="45" t="s">
        <v>23</v>
      </c>
      <c r="C34" s="46">
        <v>0.08</v>
      </c>
      <c r="D34" s="47">
        <f t="shared" si="0"/>
        <v>16</v>
      </c>
      <c r="E34" s="4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9.2" spans="1:21">
      <c r="A35" s="2"/>
      <c r="B35" s="45" t="s">
        <v>24</v>
      </c>
      <c r="C35" s="46">
        <v>0.05</v>
      </c>
      <c r="D35" s="47">
        <f t="shared" si="0"/>
        <v>10</v>
      </c>
      <c r="E35" s="4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9.2" spans="1:21">
      <c r="A36" s="2"/>
      <c r="B36" s="45" t="s">
        <v>25</v>
      </c>
      <c r="C36" s="46">
        <v>0.1</v>
      </c>
      <c r="D36" s="47">
        <f t="shared" si="0"/>
        <v>20</v>
      </c>
      <c r="E36" s="4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9.2" spans="1:21">
      <c r="A37" s="2"/>
      <c r="B37" s="45" t="s">
        <v>26</v>
      </c>
      <c r="C37" s="46">
        <v>0.1</v>
      </c>
      <c r="D37" s="47">
        <f t="shared" si="0"/>
        <v>20</v>
      </c>
      <c r="E37" s="4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9.95" spans="1:21">
      <c r="A38" s="2"/>
      <c r="B38" s="49" t="s">
        <v>27</v>
      </c>
      <c r="C38" s="50"/>
      <c r="D38" s="51">
        <f>SUM(D32:D37)</f>
        <v>200</v>
      </c>
      <c r="E38" s="5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3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3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3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3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3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3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3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3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3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3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3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3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3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3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3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3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3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3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3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</sheetData>
  <mergeCells count="2">
    <mergeCell ref="B11:C11"/>
    <mergeCell ref="B16:C1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WPS_1778787928</cp:lastModifiedBy>
  <dcterms:created xsi:type="dcterms:W3CDTF">2026-09-23T18:56:00Z</dcterms:created>
  <dcterms:modified xsi:type="dcterms:W3CDTF">2026-09-23T20:56:36Z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145A0DFDCB8848EFACCC0ACCACE1B515_12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